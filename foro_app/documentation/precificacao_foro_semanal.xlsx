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Planos Seman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2" customWidth="1" min="1" max="1"/>
    <col width="48" customWidth="1" min="2" max="2"/>
  </cols>
  <sheetData>
    <row r="1">
      <c r="A1" t="inlineStr">
        <is>
          <t>Semanas por mês (52/12)</t>
        </is>
      </c>
      <c r="B1">
        <f>52/12</f>
        <v/>
      </c>
    </row>
    <row r="2">
      <c r="A2" t="inlineStr">
        <is>
          <t>Custo por crédito IA (R$, com cache)</t>
        </is>
      </c>
      <c r="B2" t="n">
        <v>0.02586</v>
      </c>
    </row>
    <row r="3">
      <c r="A3" t="inlineStr">
        <is>
          <t>Custo médio por consulta (R$)</t>
        </is>
      </c>
      <c r="B3" t="n">
        <v>0.6472</v>
      </c>
    </row>
    <row r="4">
      <c r="A4" t="inlineStr">
        <is>
          <t>Imposto (% do preço)</t>
        </is>
      </c>
      <c r="B4" t="n">
        <v>0.06</v>
      </c>
    </row>
    <row r="5">
      <c r="A5" t="inlineStr">
        <is>
          <t>Cartão % (Asaas)</t>
        </is>
      </c>
      <c r="B5" t="n">
        <v>0.0299</v>
      </c>
    </row>
    <row r="6">
      <c r="A6" t="inlineStr">
        <is>
          <t>Cartão fixo (R$)</t>
        </is>
      </c>
      <c r="B6" t="n">
        <v>0.49</v>
      </c>
    </row>
    <row r="7">
      <c r="A7" t="inlineStr">
        <is>
          <t>Outros custos/conta/mês (R$)</t>
        </is>
      </c>
      <c r="B7" t="n">
        <v>5</v>
      </c>
    </row>
    <row r="8">
      <c r="A8" t="inlineStr">
        <is>
          <t>Margem mínima exigida</t>
        </is>
      </c>
      <c r="B8" t="n">
        <v>0.5</v>
      </c>
    </row>
    <row r="9">
      <c r="A9" t="inlineStr">
        <is>
          <t>Regra: créditos = (tokens entrada totais + 5 × tokens saída) ÷ 2.500</t>
        </is>
      </c>
      <c r="B9" t="inlineStr">
        <is>
          <t>(entrada totais = input + cache_creation + cache_read)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Item</t>
        </is>
      </c>
      <c r="B1" s="1" t="inlineStr">
        <is>
          <t>Trial 14 dias</t>
        </is>
      </c>
      <c r="C1" s="1" t="inlineStr">
        <is>
          <t>Starter</t>
        </is>
      </c>
      <c r="D1" s="1" t="inlineStr">
        <is>
          <t>Pro</t>
        </is>
      </c>
      <c r="E1" s="1" t="inlineStr">
        <is>
          <t>Business</t>
        </is>
      </c>
    </row>
    <row r="2">
      <c r="A2" t="inlineStr">
        <is>
          <t>Preço mensal (R$)</t>
        </is>
      </c>
      <c r="B2" t="n">
        <v>0</v>
      </c>
      <c r="C2" t="n">
        <v>97</v>
      </c>
      <c r="D2" t="n">
        <v>197</v>
      </c>
      <c r="E2" t="n">
        <v>397</v>
      </c>
    </row>
    <row r="3">
      <c r="A3" t="inlineStr">
        <is>
          <t>Usuários</t>
        </is>
      </c>
      <c r="B3" t="n">
        <v>1</v>
      </c>
      <c r="C3" t="n">
        <v>1</v>
      </c>
      <c r="D3" t="n">
        <v>5</v>
      </c>
      <c r="E3" t="n">
        <v>15</v>
      </c>
    </row>
    <row r="4">
      <c r="A4" t="inlineStr">
        <is>
          <t>Créditos IA / semana</t>
        </is>
      </c>
      <c r="B4" t="n">
        <v>50</v>
      </c>
      <c r="C4" t="n">
        <v>150</v>
      </c>
      <c r="D4" t="n">
        <v>300</v>
      </c>
      <c r="E4" t="n">
        <v>700</v>
      </c>
    </row>
    <row r="5">
      <c r="A5" t="inlineStr">
        <is>
          <t>Consultas / semana</t>
        </is>
      </c>
      <c r="B5" t="n">
        <v>2</v>
      </c>
      <c r="C5" t="n">
        <v>5</v>
      </c>
      <c r="D5" t="n">
        <v>10</v>
      </c>
      <c r="E5" t="n">
        <v>20</v>
      </c>
    </row>
    <row r="6">
      <c r="A6" t="inlineStr">
        <is>
          <t>Créditos IA / mês (equiv.)</t>
        </is>
      </c>
      <c r="B6">
        <f>B4*Premissas!$B$1</f>
        <v/>
      </c>
      <c r="C6">
        <f>C4*Premissas!$B$1</f>
        <v/>
      </c>
      <c r="D6">
        <f>D4*Premissas!$B$1</f>
        <v/>
      </c>
      <c r="E6">
        <f>E4*Premissas!$B$1</f>
        <v/>
      </c>
    </row>
    <row r="7">
      <c r="A7" t="inlineStr">
        <is>
          <t>Consultas / mês (equiv.)</t>
        </is>
      </c>
      <c r="B7">
        <f>B5*Premissas!$B$1</f>
        <v/>
      </c>
      <c r="C7">
        <f>C5*Premissas!$B$1</f>
        <v/>
      </c>
      <c r="D7">
        <f>D5*Premissas!$B$1</f>
        <v/>
      </c>
      <c r="E7">
        <f>E5*Premissas!$B$1</f>
        <v/>
      </c>
    </row>
    <row r="8">
      <c r="A8" t="inlineStr">
        <is>
          <t>Custo IA / semana</t>
        </is>
      </c>
      <c r="B8">
        <f>B4*Premissas!$B$2</f>
        <v/>
      </c>
      <c r="C8">
        <f>C4*Premissas!$B$2</f>
        <v/>
      </c>
      <c r="D8">
        <f>D4*Premissas!$B$2</f>
        <v/>
      </c>
      <c r="E8">
        <f>E4*Premissas!$B$2</f>
        <v/>
      </c>
    </row>
    <row r="9">
      <c r="A9" t="inlineStr">
        <is>
          <t>Custo consultas / semana</t>
        </is>
      </c>
      <c r="B9">
        <f>B5*Premissas!$B$3</f>
        <v/>
      </c>
      <c r="C9">
        <f>C5*Premissas!$B$3</f>
        <v/>
      </c>
      <c r="D9">
        <f>D5*Premissas!$B$3</f>
        <v/>
      </c>
      <c r="E9">
        <f>E5*Premissas!$B$3</f>
        <v/>
      </c>
    </row>
    <row r="10">
      <c r="A10" t="inlineStr">
        <is>
          <t>Custo variável / mês @100% uso</t>
        </is>
      </c>
      <c r="B10">
        <f>(B8+B9)*Premissas!$B$1</f>
        <v/>
      </c>
      <c r="C10">
        <f>(C8+C9)*Premissas!$B$1</f>
        <v/>
      </c>
      <c r="D10">
        <f>(D8+D9)*Premissas!$B$1</f>
        <v/>
      </c>
      <c r="E10">
        <f>(E8+E9)*Premissas!$B$1</f>
        <v/>
      </c>
    </row>
    <row r="11">
      <c r="A11" t="inlineStr">
        <is>
          <t>Custos fixos/mês (imposto+cartão+outros)</t>
        </is>
      </c>
      <c r="B11">
        <f>IF(B2=0,0,B2*Premissas!$B$4+B2*Premissas!$B$5+Premissas!$B$6+Premissas!$B$7)</f>
        <v/>
      </c>
      <c r="C11">
        <f>IF(C2=0,0,C2*Premissas!$B$4+C2*Premissas!$B$5+Premissas!$B$6+Premissas!$B$7)</f>
        <v/>
      </c>
      <c r="D11">
        <f>IF(D2=0,0,D2*Premissas!$B$4+D2*Premissas!$B$5+Premissas!$B$6+Premissas!$B$7)</f>
        <v/>
      </c>
      <c r="E11">
        <f>IF(E2=0,0,E2*Premissas!$B$4+E2*Premissas!$B$5+Premissas!$B$6+Premissas!$B$7)</f>
        <v/>
      </c>
    </row>
    <row r="12">
      <c r="A12" t="inlineStr">
        <is>
          <t>Margem @100% uso</t>
        </is>
      </c>
      <c r="B12" s="2">
        <f>IF(B2=0,"n/a (trial)",(B2-B10-B11)/B2)</f>
        <v/>
      </c>
      <c r="C12" s="2">
        <f>IF(C2=0,"n/a (trial)",(C2-C10-C11)/C2)</f>
        <v/>
      </c>
      <c r="D12" s="2">
        <f>IF(D2=0,"n/a (trial)",(D2-D10-D11)/D2)</f>
        <v/>
      </c>
      <c r="E12" s="2">
        <f>IF(E2=0,"n/a (trial)",(E2-E10-E11)/E2)</f>
        <v/>
      </c>
    </row>
    <row r="13">
      <c r="A13" t="inlineStr">
        <is>
          <t>Margem @50% uso</t>
        </is>
      </c>
      <c r="B13" s="2">
        <f>IF(B2=0,"n/a (trial)",(B2-B10*0.5-B11)/B2)</f>
        <v/>
      </c>
      <c r="C13" s="2">
        <f>IF(C2=0,"n/a (trial)",(C2-C10*0.5-C11)/C2)</f>
        <v/>
      </c>
      <c r="D13" s="2">
        <f>IF(D2=0,"n/a (trial)",(D2-D10*0.5-D11)/D2)</f>
        <v/>
      </c>
      <c r="E13" s="2">
        <f>IF(E2=0,"n/a (trial)",(E2-E10*0.5-E11)/E2)</f>
        <v/>
      </c>
    </row>
    <row r="14">
      <c r="A14" t="inlineStr">
        <is>
          <t>Atende ≥ margem mínima?</t>
        </is>
      </c>
      <c r="B14">
        <f>IF(B2=0,"custo do trial (14d): R$ "&amp;ROUND((B8+B9)*2,2),IF(B12&gt;=Premissas!$B$8,"SIM","NÃO"))</f>
        <v/>
      </c>
      <c r="C14">
        <f>IF(C2=0,"custo do trial (14d): R$ "&amp;ROUND((C8+C9)*2,2),IF(C12&gt;=Premissas!$B$8,"SIM","NÃO"))</f>
        <v/>
      </c>
      <c r="D14">
        <f>IF(D2=0,"custo do trial (14d): R$ "&amp;ROUND((D8+D9)*2,2),IF(D12&gt;=Premissas!$B$8,"SIM","NÃO"))</f>
        <v/>
      </c>
      <c r="E14">
        <f>IF(E2=0,"custo do trial (14d): R$ "&amp;ROUND((E8+E9)*2,2),IF(E12&gt;=Premissas!$B$8,"SIM","NÃO"))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2026-10-29T13:46:27Z</dcterms:created>
  <dcterms:modified xmlns:dcterms="http://purl.org/dc/terms/" xmlns:xsi="http://www.w3.org/2001/XMLSchema-instance" xsi:type="dcterms:W3CDTF">2026-10-29T13:46:27Z</dcterms:modified>
</cp:coreProperties>
</file>